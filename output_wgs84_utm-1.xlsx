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IA_Design_bikalp\CIVIL 3D PROJECTS\ATCEP\Survey-Coordinates\mutm-utm-conversion\"/>
    </mc:Choice>
  </mc:AlternateContent>
  <xr:revisionPtr revIDLastSave="0" documentId="8_{2FF6FA3E-3D8A-4DCD-863C-8F539D0577F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I4" i="1"/>
  <c r="J4" i="1"/>
  <c r="K4" i="1"/>
  <c r="L4" i="1"/>
  <c r="I5" i="1"/>
  <c r="J5" i="1"/>
  <c r="K5" i="1"/>
  <c r="L5" i="1"/>
  <c r="N5" i="1" s="1"/>
  <c r="I6" i="1"/>
  <c r="J6" i="1"/>
  <c r="K6" i="1"/>
  <c r="L6" i="1"/>
  <c r="I7" i="1"/>
  <c r="J7" i="1"/>
  <c r="K7" i="1"/>
  <c r="L7" i="1"/>
  <c r="N7" i="1"/>
  <c r="I8" i="1"/>
  <c r="J8" i="1"/>
  <c r="K8" i="1"/>
  <c r="L8" i="1"/>
  <c r="N8" i="1"/>
  <c r="I9" i="1"/>
  <c r="J9" i="1"/>
  <c r="K9" i="1"/>
  <c r="L9" i="1"/>
  <c r="M9" i="1"/>
  <c r="N9" i="1"/>
  <c r="I10" i="1"/>
  <c r="J10" i="1"/>
  <c r="K10" i="1"/>
  <c r="L10" i="1"/>
  <c r="I11" i="1"/>
  <c r="J11" i="1"/>
  <c r="M11" i="1" s="1"/>
  <c r="K11" i="1"/>
  <c r="L11" i="1"/>
  <c r="L3" i="1"/>
  <c r="K3" i="1"/>
  <c r="N3" i="1" s="1"/>
  <c r="J3" i="1"/>
  <c r="I3" i="1"/>
  <c r="M3" i="1" s="1"/>
  <c r="P3" i="1" s="1"/>
  <c r="M10" i="1" l="1"/>
  <c r="O10" i="1" s="1"/>
  <c r="M6" i="1"/>
  <c r="O6" i="1" s="1"/>
  <c r="P9" i="1"/>
  <c r="M4" i="1"/>
  <c r="O4" i="1" s="1"/>
  <c r="O9" i="1"/>
  <c r="N6" i="1"/>
  <c r="O3" i="1"/>
  <c r="P6" i="1"/>
  <c r="M5" i="1"/>
  <c r="O5" i="1" s="1"/>
  <c r="N4" i="1"/>
  <c r="P4" i="1" s="1"/>
  <c r="M7" i="1"/>
  <c r="O7" i="1" s="1"/>
  <c r="N10" i="1"/>
  <c r="M8" i="1"/>
  <c r="O8" i="1" s="1"/>
  <c r="N11" i="1"/>
  <c r="P11" i="1" s="1"/>
  <c r="P10" i="1" l="1"/>
  <c r="P8" i="1"/>
  <c r="P7" i="1"/>
  <c r="P5" i="1"/>
</calcChain>
</file>

<file path=xl/sharedStrings.xml><?xml version="1.0" encoding="utf-8"?>
<sst xmlns="http://schemas.openxmlformats.org/spreadsheetml/2006/main" count="28" uniqueCount="19">
  <si>
    <t>Point</t>
  </si>
  <si>
    <t>Easting</t>
  </si>
  <si>
    <t>Northing</t>
  </si>
  <si>
    <t>WGS84_Latitude</t>
  </si>
  <si>
    <t>WGS84_Longitude</t>
  </si>
  <si>
    <t>UTM_Easting</t>
  </si>
  <si>
    <t>UTM_Northing</t>
  </si>
  <si>
    <t>UTM_Zone</t>
  </si>
  <si>
    <t>ARP03</t>
  </si>
  <si>
    <t>45N</t>
  </si>
  <si>
    <t>ARP01</t>
  </si>
  <si>
    <t>ARP02</t>
  </si>
  <si>
    <t>ACP4</t>
  </si>
  <si>
    <t>HAN01</t>
  </si>
  <si>
    <t>HAN02</t>
  </si>
  <si>
    <t>YC20</t>
  </si>
  <si>
    <t>JZ001</t>
  </si>
  <si>
    <t>AVIC2</t>
  </si>
  <si>
    <t>AVIC3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</si>
</sst>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activeCell="M18" sqref="M18"/>
    </sheetView>
  </sheetViews>
  <sheetFormatPr defaultRowHeight="15" x14ac:dyDescent="0.25"/>
  <cols>
    <col min="1" max="1" width="7" bestFit="1" customWidth="1"/>
    <col min="2" max="3" width="12" bestFit="1" customWidth="1"/>
    <col min="4" max="4" width="15.85546875" bestFit="1" customWidth="1"/>
    <col min="5" max="5" width="17.5703125" bestFit="1" customWidth="1"/>
    <col min="6" max="6" width="12.5703125" bestFit="1" customWidth="1"/>
    <col min="7" max="7" width="14.28515625" bestFit="1" customWidth="1"/>
    <col min="8" max="8" width="10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6" x14ac:dyDescent="0.25">
      <c r="A2" t="s">
        <v>8</v>
      </c>
      <c r="B2">
        <v>634413.73939999996</v>
      </c>
      <c r="C2">
        <v>3064905.4019999998</v>
      </c>
      <c r="D2">
        <v>27.69595118807726</v>
      </c>
      <c r="E2">
        <v>85.360602436489927</v>
      </c>
      <c r="F2">
        <v>338347.51127596002</v>
      </c>
      <c r="G2">
        <v>3064597.142443378</v>
      </c>
      <c r="H2" t="s">
        <v>9</v>
      </c>
    </row>
    <row r="3" spans="1:16" x14ac:dyDescent="0.25">
      <c r="A3" t="s">
        <v>10</v>
      </c>
      <c r="B3">
        <v>634027.2585</v>
      </c>
      <c r="C3">
        <v>3065117.858</v>
      </c>
      <c r="D3">
        <v>27.69790651123634</v>
      </c>
      <c r="E3">
        <v>85.356708600205508</v>
      </c>
      <c r="F3">
        <v>337966.38892635831</v>
      </c>
      <c r="G3">
        <v>3064818.8993751141</v>
      </c>
      <c r="H3" t="s">
        <v>9</v>
      </c>
      <c r="I3">
        <f>B3-B2</f>
        <v>-386.48089999996591</v>
      </c>
      <c r="J3">
        <f>C3-C2</f>
        <v>212.45600000023842</v>
      </c>
      <c r="K3">
        <f>F3-F2</f>
        <v>-381.12234960170463</v>
      </c>
      <c r="L3">
        <f>G3-G2</f>
        <v>221.75693173613399</v>
      </c>
      <c r="M3">
        <f>SQRT(I3^2+J3^2)</f>
        <v>441.02725312715648</v>
      </c>
      <c r="N3">
        <f>SQRT(K3^2+L3^2)</f>
        <v>440.94260640013954</v>
      </c>
      <c r="O3">
        <f>0.9999*M3</f>
        <v>440.98315040184377</v>
      </c>
      <c r="P3">
        <f>ABS(M3-N3)</f>
        <v>8.4646727016945533E-2</v>
      </c>
    </row>
    <row r="4" spans="1:16" x14ac:dyDescent="0.25">
      <c r="A4" t="s">
        <v>11</v>
      </c>
      <c r="B4">
        <v>634483.17740000004</v>
      </c>
      <c r="C4">
        <v>3065239.6170000001</v>
      </c>
      <c r="D4">
        <v>27.698959719866671</v>
      </c>
      <c r="E4">
        <v>85.361343710255525</v>
      </c>
      <c r="F4">
        <v>338425.04818096821</v>
      </c>
      <c r="G4">
        <v>3064929.5040294421</v>
      </c>
      <c r="H4" t="s">
        <v>9</v>
      </c>
      <c r="I4">
        <f t="shared" ref="I4:I11" si="0">B4-B3</f>
        <v>455.91890000004787</v>
      </c>
      <c r="J4">
        <f t="shared" ref="J4:J11" si="1">C4-C3</f>
        <v>121.75900000007823</v>
      </c>
      <c r="K4">
        <f t="shared" ref="K4:K11" si="2">F4-F3</f>
        <v>458.6592546098982</v>
      </c>
      <c r="L4">
        <f t="shared" ref="L4:L11" si="3">G4-G3</f>
        <v>110.60465432796627</v>
      </c>
      <c r="M4">
        <f t="shared" ref="M4:M11" si="4">SQRT(I4^2+J4^2)</f>
        <v>471.89754974811291</v>
      </c>
      <c r="N4">
        <f t="shared" ref="N4:N11" si="5">SQRT(K4^2+L4^2)</f>
        <v>471.80684755344146</v>
      </c>
      <c r="O4">
        <f t="shared" ref="O4:O11" si="6">0.9999*M4</f>
        <v>471.85035999313811</v>
      </c>
      <c r="P4">
        <f t="shared" ref="P4:P11" si="7">ABS(M4-N4)</f>
        <v>9.0702194671450798E-2</v>
      </c>
    </row>
    <row r="5" spans="1:16" x14ac:dyDescent="0.25">
      <c r="A5" t="s">
        <v>12</v>
      </c>
      <c r="B5">
        <v>634785.47600000002</v>
      </c>
      <c r="C5">
        <v>3066440.7489999998</v>
      </c>
      <c r="D5">
        <v>27.70976672722162</v>
      </c>
      <c r="E5">
        <v>85.364542855406796</v>
      </c>
      <c r="F5">
        <v>338756.43371260498</v>
      </c>
      <c r="G5">
        <v>3066122.6879608301</v>
      </c>
      <c r="H5" t="s">
        <v>9</v>
      </c>
      <c r="I5">
        <f t="shared" si="0"/>
        <v>302.29859999998007</v>
      </c>
      <c r="J5">
        <f t="shared" si="1"/>
        <v>1201.1319999997504</v>
      </c>
      <c r="K5">
        <f t="shared" si="2"/>
        <v>331.38553163676988</v>
      </c>
      <c r="L5">
        <f t="shared" si="3"/>
        <v>1193.1839313879609</v>
      </c>
      <c r="M5">
        <f t="shared" si="4"/>
        <v>1238.5889249405343</v>
      </c>
      <c r="N5">
        <f t="shared" si="5"/>
        <v>1238.3473925763381</v>
      </c>
      <c r="O5">
        <f t="shared" si="6"/>
        <v>1238.4650660480402</v>
      </c>
      <c r="P5">
        <f t="shared" si="7"/>
        <v>0.24153236419624591</v>
      </c>
    </row>
    <row r="6" spans="1:16" x14ac:dyDescent="0.25">
      <c r="A6" t="s">
        <v>13</v>
      </c>
      <c r="B6">
        <v>635176.70429999998</v>
      </c>
      <c r="C6">
        <v>3066022.4879999999</v>
      </c>
      <c r="D6">
        <v>27.705953836709789</v>
      </c>
      <c r="E6">
        <v>85.368461907341327</v>
      </c>
      <c r="F6">
        <v>339137.28714922193</v>
      </c>
      <c r="G6">
        <v>3065695.1100152978</v>
      </c>
      <c r="H6" t="s">
        <v>9</v>
      </c>
      <c r="I6">
        <f t="shared" si="0"/>
        <v>391.22829999995884</v>
      </c>
      <c r="J6">
        <f t="shared" si="1"/>
        <v>-418.2609999999404</v>
      </c>
      <c r="K6">
        <f t="shared" si="2"/>
        <v>380.85343661694787</v>
      </c>
      <c r="L6">
        <f t="shared" si="3"/>
        <v>-427.57794553227723</v>
      </c>
      <c r="M6">
        <f t="shared" si="4"/>
        <v>572.71445489162215</v>
      </c>
      <c r="N6">
        <f t="shared" si="5"/>
        <v>572.60129207725561</v>
      </c>
      <c r="O6">
        <f t="shared" si="6"/>
        <v>572.65718344613299</v>
      </c>
      <c r="P6">
        <f t="shared" si="7"/>
        <v>0.11316281436654663</v>
      </c>
    </row>
    <row r="7" spans="1:16" x14ac:dyDescent="0.25">
      <c r="A7" t="s">
        <v>14</v>
      </c>
      <c r="B7">
        <v>634921.66429999995</v>
      </c>
      <c r="C7">
        <v>3064970.699</v>
      </c>
      <c r="D7">
        <v>27.696489642954081</v>
      </c>
      <c r="E7">
        <v>85.365758311818524</v>
      </c>
      <c r="F7">
        <v>338856.77549879771</v>
      </c>
      <c r="G7">
        <v>3064650.0478527462</v>
      </c>
      <c r="H7" t="s">
        <v>9</v>
      </c>
      <c r="I7">
        <f t="shared" si="0"/>
        <v>-255.04000000003725</v>
      </c>
      <c r="J7">
        <f t="shared" si="1"/>
        <v>-1051.7889999998733</v>
      </c>
      <c r="K7">
        <f t="shared" si="2"/>
        <v>-280.51165042421781</v>
      </c>
      <c r="L7">
        <f t="shared" si="3"/>
        <v>-1045.0621625515632</v>
      </c>
      <c r="M7">
        <f t="shared" si="4"/>
        <v>1082.2686829622082</v>
      </c>
      <c r="N7">
        <f t="shared" si="5"/>
        <v>1082.05439309707</v>
      </c>
      <c r="O7">
        <f t="shared" si="6"/>
        <v>1082.160456093912</v>
      </c>
      <c r="P7">
        <f t="shared" si="7"/>
        <v>0.21428986513819837</v>
      </c>
    </row>
    <row r="8" spans="1:16" x14ac:dyDescent="0.25">
      <c r="A8" t="s">
        <v>15</v>
      </c>
      <c r="B8">
        <v>633494.15489999996</v>
      </c>
      <c r="C8">
        <v>3062986.7059999998</v>
      </c>
      <c r="D8">
        <v>27.67873096280341</v>
      </c>
      <c r="E8">
        <v>85.351067973211968</v>
      </c>
      <c r="F8">
        <v>337381.69880528102</v>
      </c>
      <c r="G8">
        <v>3062701.7487025331</v>
      </c>
      <c r="H8" t="s">
        <v>9</v>
      </c>
      <c r="I8">
        <f t="shared" si="0"/>
        <v>-1427.5093999999808</v>
      </c>
      <c r="J8">
        <f t="shared" si="1"/>
        <v>-1983.9930000002496</v>
      </c>
      <c r="K8">
        <f t="shared" si="2"/>
        <v>-1475.0766935166903</v>
      </c>
      <c r="L8">
        <f t="shared" si="3"/>
        <v>-1948.2991502131335</v>
      </c>
      <c r="M8">
        <f t="shared" si="4"/>
        <v>2444.1790669135303</v>
      </c>
      <c r="N8">
        <f t="shared" si="5"/>
        <v>2443.7104637164671</v>
      </c>
      <c r="O8">
        <f t="shared" si="6"/>
        <v>2443.9346490068388</v>
      </c>
      <c r="P8">
        <f t="shared" si="7"/>
        <v>0.46860319706320297</v>
      </c>
    </row>
    <row r="9" spans="1:16" x14ac:dyDescent="0.25">
      <c r="A9" t="s">
        <v>16</v>
      </c>
      <c r="B9">
        <v>633386.58970000001</v>
      </c>
      <c r="C9">
        <v>3063734.8489999999</v>
      </c>
      <c r="D9">
        <v>27.685491746159421</v>
      </c>
      <c r="E9">
        <v>85.350060827728257</v>
      </c>
      <c r="F9">
        <v>337292.38190971612</v>
      </c>
      <c r="G9">
        <v>3063452.1473708642</v>
      </c>
      <c r="H9" t="s">
        <v>9</v>
      </c>
      <c r="I9">
        <f t="shared" si="0"/>
        <v>-107.56519999995362</v>
      </c>
      <c r="J9">
        <f t="shared" si="1"/>
        <v>748.14300000015646</v>
      </c>
      <c r="K9">
        <f t="shared" si="2"/>
        <v>-89.316895564901643</v>
      </c>
      <c r="L9">
        <f t="shared" si="3"/>
        <v>750.39866833109409</v>
      </c>
      <c r="M9">
        <f t="shared" si="4"/>
        <v>755.83610703661429</v>
      </c>
      <c r="N9">
        <f t="shared" si="5"/>
        <v>755.69548712853305</v>
      </c>
      <c r="O9">
        <f t="shared" si="6"/>
        <v>755.76052342591061</v>
      </c>
      <c r="P9">
        <f t="shared" si="7"/>
        <v>0.14061990808124847</v>
      </c>
    </row>
    <row r="10" spans="1:16" x14ac:dyDescent="0.25">
      <c r="A10" t="s">
        <v>17</v>
      </c>
      <c r="B10">
        <v>634338.69709999999</v>
      </c>
      <c r="C10">
        <v>3066570.4989999998</v>
      </c>
      <c r="D10">
        <v>27.710981967707941</v>
      </c>
      <c r="E10">
        <v>85.360028063377698</v>
      </c>
      <c r="F10">
        <v>338313.03292640031</v>
      </c>
      <c r="G10">
        <v>3066263.251001175</v>
      </c>
      <c r="H10" t="s">
        <v>9</v>
      </c>
      <c r="I10">
        <f t="shared" si="0"/>
        <v>952.10739999997895</v>
      </c>
      <c r="J10">
        <f t="shared" si="1"/>
        <v>2835.6499999999069</v>
      </c>
      <c r="K10">
        <f t="shared" si="2"/>
        <v>1020.6510166841908</v>
      </c>
      <c r="L10">
        <f t="shared" si="3"/>
        <v>2811.1036303108558</v>
      </c>
      <c r="M10">
        <f t="shared" si="4"/>
        <v>2991.2237334633114</v>
      </c>
      <c r="N10">
        <f t="shared" si="5"/>
        <v>2990.6574725644105</v>
      </c>
      <c r="O10">
        <f t="shared" si="6"/>
        <v>2990.9246110899653</v>
      </c>
      <c r="P10">
        <f t="shared" si="7"/>
        <v>0.56626089890096409</v>
      </c>
    </row>
    <row r="11" spans="1:16" x14ac:dyDescent="0.25">
      <c r="A11" t="s">
        <v>18</v>
      </c>
      <c r="B11">
        <v>633979.07649999997</v>
      </c>
      <c r="C11">
        <v>3066303.77</v>
      </c>
      <c r="D11">
        <v>27.70861118195025</v>
      </c>
      <c r="E11">
        <v>85.356352517839625</v>
      </c>
      <c r="F11">
        <v>337947.09447968588</v>
      </c>
      <c r="G11">
        <v>3066005.4069229211</v>
      </c>
      <c r="H11" t="s">
        <v>9</v>
      </c>
      <c r="I11">
        <f t="shared" si="0"/>
        <v>-359.62060000002384</v>
      </c>
      <c r="J11">
        <f t="shared" si="1"/>
        <v>-266.72899999981746</v>
      </c>
      <c r="K11">
        <f t="shared" si="2"/>
        <v>-365.93844671442639</v>
      </c>
      <c r="L11">
        <f t="shared" si="3"/>
        <v>-257.84407825395465</v>
      </c>
      <c r="M11">
        <f t="shared" si="4"/>
        <v>447.74025437219711</v>
      </c>
      <c r="N11">
        <f t="shared" si="5"/>
        <v>447.65445990674385</v>
      </c>
      <c r="O11">
        <f t="shared" si="6"/>
        <v>447.69548034675989</v>
      </c>
      <c r="P11">
        <f t="shared" si="7"/>
        <v>8.5794465453261637E-2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2026-01-13T07:00:18Z</dcterms:created>
  <dcterms:modified xsi:type="dcterms:W3CDTF">2026-01-13T08:01:46Z</dcterms:modified>
</cp:coreProperties>
</file>