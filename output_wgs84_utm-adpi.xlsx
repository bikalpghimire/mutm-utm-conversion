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TIA_Design_bikalp\CIVIL 3D PROJECTS\ATCEP\Survey-Coordinates\mutm-utm-conversion\"/>
    </mc:Choice>
  </mc:AlternateContent>
  <xr:revisionPtr revIDLastSave="0" documentId="13_ncr:1_{B1038712-4D47-43C8-86AA-72B2A3B69234}" xr6:coauthVersionLast="47" xr6:coauthVersionMax="47" xr10:uidLastSave="{00000000-0000-0000-0000-000000000000}"/>
  <bookViews>
    <workbookView xWindow="-105" yWindow="8100" windowWidth="29010" windowHeight="82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3" i="1"/>
  <c r="J4" i="1"/>
  <c r="J5" i="1"/>
  <c r="J6" i="1"/>
  <c r="J7" i="1"/>
  <c r="J8" i="1"/>
  <c r="J9" i="1"/>
  <c r="J10" i="1"/>
  <c r="J11" i="1"/>
  <c r="J12" i="1"/>
  <c r="J3" i="1"/>
  <c r="I4" i="1"/>
  <c r="I5" i="1"/>
  <c r="I6" i="1"/>
  <c r="I7" i="1"/>
  <c r="I8" i="1"/>
  <c r="I9" i="1"/>
  <c r="I10" i="1"/>
  <c r="I11" i="1"/>
  <c r="I12" i="1"/>
  <c r="I3" i="1"/>
</calcChain>
</file>

<file path=xl/sharedStrings.xml><?xml version="1.0" encoding="utf-8"?>
<sst xmlns="http://schemas.openxmlformats.org/spreadsheetml/2006/main" count="30" uniqueCount="20">
  <si>
    <t>Point</t>
  </si>
  <si>
    <t>Easting</t>
  </si>
  <si>
    <t>Northing</t>
  </si>
  <si>
    <t>WGS84_Latitude</t>
  </si>
  <si>
    <t>WGS84_Longitude</t>
  </si>
  <si>
    <t>UTM_Easting</t>
  </si>
  <si>
    <t>UTM_Northing</t>
  </si>
  <si>
    <t>UTM_Zone</t>
  </si>
  <si>
    <t>ARP03</t>
  </si>
  <si>
    <t>45N</t>
  </si>
  <si>
    <t>ARP01</t>
  </si>
  <si>
    <t>ARP02</t>
  </si>
  <si>
    <t>ACP4</t>
  </si>
  <si>
    <t>HAN01</t>
  </si>
  <si>
    <t>HAN02</t>
  </si>
  <si>
    <t>YC20</t>
  </si>
  <si>
    <t>JZ001</t>
  </si>
  <si>
    <t>AVIC2</t>
  </si>
  <si>
    <t>AVIC3</t>
  </si>
  <si>
    <t>Helipad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</si>
</sst>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M6" sqref="M6"/>
    </sheetView>
  </sheetViews>
  <sheetFormatPr defaultRowHeight="15" x14ac:dyDescent="0.25"/>
  <cols>
    <col min="1" max="1" width="9.42578125" bestFit="1" customWidth="1"/>
    <col min="2" max="3" width="12" bestFit="1" customWidth="1"/>
    <col min="4" max="4" width="15.85546875" bestFit="1" customWidth="1"/>
    <col min="5" max="5" width="17.5703125" bestFit="1" customWidth="1"/>
    <col min="6" max="6" width="12.5703125" bestFit="1" customWidth="1"/>
    <col min="7" max="7" width="14.28515625" bestFit="1" customWidth="1"/>
    <col min="8" max="8" width="10.71093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t="s">
        <v>8</v>
      </c>
      <c r="B2">
        <v>634413.73939999996</v>
      </c>
      <c r="C2">
        <v>3064905.4019999998</v>
      </c>
      <c r="D2">
        <v>27.6960025208225</v>
      </c>
      <c r="E2">
        <v>85.360591996897654</v>
      </c>
      <c r="F2">
        <v>338346.55737855431</v>
      </c>
      <c r="G2">
        <v>3064602.8436111049</v>
      </c>
      <c r="H2" t="s">
        <v>9</v>
      </c>
    </row>
    <row r="3" spans="1:11" x14ac:dyDescent="0.25">
      <c r="A3" t="s">
        <v>10</v>
      </c>
      <c r="B3">
        <v>634027.2585</v>
      </c>
      <c r="C3">
        <v>3065117.858</v>
      </c>
      <c r="D3">
        <v>27.697957839298091</v>
      </c>
      <c r="E3">
        <v>85.356698167273166</v>
      </c>
      <c r="F3">
        <v>337965.43588088121</v>
      </c>
      <c r="G3">
        <v>3064824.600056184</v>
      </c>
      <c r="H3" t="s">
        <v>9</v>
      </c>
      <c r="I3">
        <f>SQRT((B3-B2)^2 + (C3-C2)^2)</f>
        <v>441.02725312715648</v>
      </c>
      <c r="J3">
        <f>SQRT((F3-F2)^2 + (G3-G2)^2)</f>
        <v>440.94162530057258</v>
      </c>
      <c r="K3">
        <f>I3-J3</f>
        <v>8.5627826583902333E-2</v>
      </c>
    </row>
    <row r="4" spans="1:11" x14ac:dyDescent="0.25">
      <c r="A4" t="s">
        <v>11</v>
      </c>
      <c r="B4">
        <v>634483.17740000004</v>
      </c>
      <c r="C4">
        <v>3065239.6170000001</v>
      </c>
      <c r="D4">
        <v>27.699011045913259</v>
      </c>
      <c r="E4">
        <v>85.361333269073711</v>
      </c>
      <c r="F4">
        <v>338424.09411877178</v>
      </c>
      <c r="G4">
        <v>3064935.2044529291</v>
      </c>
      <c r="H4" t="s">
        <v>9</v>
      </c>
      <c r="I4">
        <f t="shared" ref="I4:I12" si="0">SQRT((B4-B3)^2 + (C4-C3)^2)</f>
        <v>471.89754974811291</v>
      </c>
      <c r="J4">
        <f t="shared" ref="J4:J12" si="1">SQRT((F4-F3)^2 + (G4-G3)^2)</f>
        <v>471.80579878190611</v>
      </c>
      <c r="K4">
        <f t="shared" ref="K4:K12" si="2">I4-J4</f>
        <v>9.1750966206802786E-2</v>
      </c>
    </row>
    <row r="5" spans="1:11" x14ac:dyDescent="0.25">
      <c r="A5" t="s">
        <v>12</v>
      </c>
      <c r="B5">
        <v>634785.47600000002</v>
      </c>
      <c r="C5">
        <v>3066440.7489999998</v>
      </c>
      <c r="D5">
        <v>27.70981802924538</v>
      </c>
      <c r="E5">
        <v>85.364532407571076</v>
      </c>
      <c r="F5">
        <v>338755.47894089849</v>
      </c>
      <c r="G5">
        <v>3066128.3857111572</v>
      </c>
      <c r="H5" t="s">
        <v>9</v>
      </c>
      <c r="I5">
        <f t="shared" si="0"/>
        <v>1238.5889249405343</v>
      </c>
      <c r="J5">
        <f t="shared" si="1"/>
        <v>1238.3446270416177</v>
      </c>
      <c r="K5">
        <f t="shared" si="2"/>
        <v>0.24429789891655673</v>
      </c>
    </row>
    <row r="6" spans="1:11" x14ac:dyDescent="0.25">
      <c r="A6" t="s">
        <v>13</v>
      </c>
      <c r="B6">
        <v>635176.70429999998</v>
      </c>
      <c r="C6">
        <v>3066022.4879999999</v>
      </c>
      <c r="D6">
        <v>27.706005147590481</v>
      </c>
      <c r="E6">
        <v>85.368451452978107</v>
      </c>
      <c r="F6">
        <v>339136.33152151771</v>
      </c>
      <c r="G6">
        <v>3065700.8087121849</v>
      </c>
      <c r="H6" t="s">
        <v>9</v>
      </c>
      <c r="I6">
        <f t="shared" si="0"/>
        <v>572.71445489162215</v>
      </c>
      <c r="J6">
        <f t="shared" si="1"/>
        <v>572.60001590508728</v>
      </c>
      <c r="K6">
        <f t="shared" si="2"/>
        <v>0.1144389865348785</v>
      </c>
    </row>
    <row r="7" spans="1:11" x14ac:dyDescent="0.25">
      <c r="A7" t="s">
        <v>14</v>
      </c>
      <c r="B7">
        <v>634921.66429999995</v>
      </c>
      <c r="C7">
        <v>3064970.699</v>
      </c>
      <c r="D7">
        <v>27.69654097487938</v>
      </c>
      <c r="E7">
        <v>85.365747863110386</v>
      </c>
      <c r="F7">
        <v>338855.82047093217</v>
      </c>
      <c r="G7">
        <v>3064655.7488906542</v>
      </c>
      <c r="H7" t="s">
        <v>9</v>
      </c>
      <c r="I7">
        <f t="shared" si="0"/>
        <v>1082.2686829622082</v>
      </c>
      <c r="J7">
        <f t="shared" si="1"/>
        <v>1082.0519766066718</v>
      </c>
      <c r="K7">
        <f t="shared" si="2"/>
        <v>0.21670635553641659</v>
      </c>
    </row>
    <row r="8" spans="1:11" x14ac:dyDescent="0.25">
      <c r="A8" t="s">
        <v>15</v>
      </c>
      <c r="B8">
        <v>633494.15489999996</v>
      </c>
      <c r="C8">
        <v>3062986.7059999998</v>
      </c>
      <c r="D8">
        <v>27.678782333489711</v>
      </c>
      <c r="E8">
        <v>85.351057552017522</v>
      </c>
      <c r="F8">
        <v>337380.74701093673</v>
      </c>
      <c r="G8">
        <v>3062707.4541262891</v>
      </c>
      <c r="H8" t="s">
        <v>9</v>
      </c>
      <c r="I8">
        <f t="shared" si="0"/>
        <v>2444.1790669135303</v>
      </c>
      <c r="J8">
        <f t="shared" si="1"/>
        <v>2443.7050151839676</v>
      </c>
      <c r="K8">
        <f t="shared" si="2"/>
        <v>0.47405172956268871</v>
      </c>
    </row>
    <row r="9" spans="1:11" x14ac:dyDescent="0.25">
      <c r="A9" t="s">
        <v>16</v>
      </c>
      <c r="B9">
        <v>633386.58970000001</v>
      </c>
      <c r="C9">
        <v>3063734.8489999999</v>
      </c>
      <c r="D9">
        <v>27.68554310159249</v>
      </c>
      <c r="E9">
        <v>85.350050407662607</v>
      </c>
      <c r="F9">
        <v>337291.43033090187</v>
      </c>
      <c r="G9">
        <v>3063457.8511205208</v>
      </c>
      <c r="H9" t="s">
        <v>9</v>
      </c>
      <c r="I9">
        <f t="shared" si="0"/>
        <v>755.83610703661429</v>
      </c>
      <c r="J9">
        <f t="shared" si="1"/>
        <v>755.69379928941487</v>
      </c>
      <c r="K9">
        <f t="shared" si="2"/>
        <v>0.14230774719942474</v>
      </c>
    </row>
    <row r="10" spans="1:11" x14ac:dyDescent="0.25">
      <c r="A10" t="s">
        <v>17</v>
      </c>
      <c r="B10">
        <v>634338.69709999999</v>
      </c>
      <c r="C10">
        <v>3066570.4989999998</v>
      </c>
      <c r="D10">
        <v>27.71103326666238</v>
      </c>
      <c r="E10">
        <v>85.360017623364783</v>
      </c>
      <c r="F10">
        <v>338312.07914325851</v>
      </c>
      <c r="G10">
        <v>3066268.9484475972</v>
      </c>
      <c r="H10" t="s">
        <v>9</v>
      </c>
      <c r="I10">
        <f t="shared" si="0"/>
        <v>2991.2237334633114</v>
      </c>
      <c r="J10">
        <f t="shared" si="1"/>
        <v>2990.6507954726003</v>
      </c>
      <c r="K10">
        <f t="shared" si="2"/>
        <v>0.57293799071112517</v>
      </c>
    </row>
    <row r="11" spans="1:11" x14ac:dyDescent="0.25">
      <c r="A11" t="s">
        <v>18</v>
      </c>
      <c r="B11">
        <v>633979.07649999997</v>
      </c>
      <c r="C11">
        <v>3066303.77</v>
      </c>
      <c r="D11">
        <v>27.7086624859507</v>
      </c>
      <c r="E11">
        <v>85.356342084515219</v>
      </c>
      <c r="F11">
        <v>337946.1415039553</v>
      </c>
      <c r="G11">
        <v>3066011.1049537701</v>
      </c>
      <c r="H11" t="s">
        <v>9</v>
      </c>
      <c r="I11">
        <f t="shared" si="0"/>
        <v>447.74025437219711</v>
      </c>
      <c r="J11">
        <f t="shared" si="1"/>
        <v>447.65346325902868</v>
      </c>
      <c r="K11">
        <f t="shared" si="2"/>
        <v>8.6791113168430911E-2</v>
      </c>
    </row>
    <row r="12" spans="1:11" x14ac:dyDescent="0.25">
      <c r="A12" t="s">
        <v>19</v>
      </c>
      <c r="B12">
        <v>634677.52899999998</v>
      </c>
      <c r="C12">
        <v>3065346.8418999999</v>
      </c>
      <c r="D12">
        <v>27.6999590938218</v>
      </c>
      <c r="E12">
        <v>85.363315374226445</v>
      </c>
      <c r="F12">
        <v>338620.95931323909</v>
      </c>
      <c r="G12">
        <v>3065037.6467642919</v>
      </c>
      <c r="H12" t="s">
        <v>9</v>
      </c>
      <c r="I12">
        <f t="shared" si="0"/>
        <v>1184.7140090866399</v>
      </c>
      <c r="J12">
        <f t="shared" si="1"/>
        <v>1184.4829768251809</v>
      </c>
      <c r="K12">
        <f t="shared" si="2"/>
        <v>0.23103226145894951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Bikalp Ghimire</cp:lastModifiedBy>
  <dcterms:created xsi:type="dcterms:W3CDTF">2026-01-14T04:11:36Z</dcterms:created>
  <dcterms:modified xsi:type="dcterms:W3CDTF">2026-01-18T07:04:11Z</dcterms:modified>
</cp:coreProperties>
</file>